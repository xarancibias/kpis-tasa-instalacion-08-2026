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isis\BBDD\p12_Tasa_Instalacion_BAF_2026-08\periodos\2026-08\reportes\"/>
    </mc:Choice>
  </mc:AlternateContent>
  <xr:revisionPtr revIDLastSave="0" documentId="8_{CADF2D9B-42DD-4418-9DE9-B11621199546}" xr6:coauthVersionLast="47" xr6:coauthVersionMax="47" xr10:uidLastSave="{00000000-0000-0000-0000-000000000000}"/>
  <bookViews>
    <workbookView xWindow="-108" yWindow="-108" windowWidth="23256" windowHeight="12456" xr2:uid="{ADF1982F-1972-4AF9-8C2E-E3CF74272238}"/>
  </bookViews>
  <sheets>
    <sheet name="Resumen" sheetId="1" r:id="rId1"/>
    <sheet name="Numerador_Detalle" sheetId="2" r:id="rId2"/>
    <sheet name="Denominador_Detalle" sheetId="3" r:id="rId3"/>
  </sheets>
  <definedNames>
    <definedName name="DatosExternos_1" localSheetId="2">Denominador_Detalle!$A$1:$D$2888</definedName>
    <definedName name="DatosExternos_1" localSheetId="1">Numerador_Detalle!$A$1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F5" i="1"/>
  <c r="C5" i="1"/>
  <c r="I5" i="1"/>
  <c r="D5" i="1"/>
  <c r="E5" i="1"/>
  <c r="H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E707BC-C7C1-44F6-8235-E5A9E7411A0B}" name="denominador_maestro_ventas" type="6" refreshedVersion="8" background="1" saveData="1">
    <textPr prompt="0" sourceFile="C:\analisis\BBDD\p12_Tasa_Instalacion_BAF_2026-08\periodos\2026-08\datos\denominador_maestro_ventas.csv" decimal="," thousands="." semicolon="1">
      <textFields>
        <textField/>
      </textFields>
    </textPr>
  </connection>
  <connection id="2" xr16:uid="{81DEA760-D33F-4833-9ECC-5B9D5134769E}" name="numerador_filtrado" type="6" refreshedVersion="8" background="1" saveData="1">
    <textPr prompt="0" sourceFile="C:\analisis\BBDD\p12_Tasa_Instalacion_BAF_2026-08\periodos\2026-08\datos\numerador_filtrado.csv" decimal="," thousands=".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<sst xmlns="http://schemas.openxmlformats.org/spreadsheetml/2006/main" count="17" uniqueCount="17">
  <si>
    <t>Tasa de Instalacion BAF - ELECNOR - Periodo 2026-08</t>
  </si>
  <si>
    <t>Numerador: TOA, STATUS_CD=complete y XA_WORK_TYPE_ID que inicia con AT (BAF). Denominador: Maestro_Ventas, Emision - Cancelada por AGENCIA_ZONAL_INSTALACION.</t>
  </si>
  <si>
    <t>Agencia</t>
  </si>
  <si>
    <t>Numerador (Complete+AT)</t>
  </si>
  <si>
    <t>Emision</t>
  </si>
  <si>
    <t>Cancelada</t>
  </si>
  <si>
    <t>Denominador (Neto)</t>
  </si>
  <si>
    <t>Tasa Instalacion (%)</t>
  </si>
  <si>
    <t>Meta (%)</t>
  </si>
  <si>
    <t>Brecha (%)</t>
  </si>
  <si>
    <t>Cumple Meta</t>
  </si>
  <si>
    <t>TOTAL</t>
  </si>
  <si>
    <t>Generado automaticamente por scripts\Actualizar-KPI.ps1</t>
  </si>
  <si>
    <t>TIPO</t>
  </si>
  <si>
    <t>AGENCIA_ZONAL_INSTALACION</t>
  </si>
  <si>
    <t>ORDEN</t>
  </si>
  <si>
    <t>FECHA_EMISION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</si>
</sst>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Tasa de Instalacion BAF vs Meta - 2026-08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Tasa Instalacion (%)</c:v>
          </c:tx>
          <c:invertIfNegative val="0"/>
          <c:cat>
            <c:strRef>
              <c:f>Resumen!$A$4:$A$5</c:f>
              <c:strCache>
                <c:ptCount val="2"/>
                <c:pt idx="0">
                  <c:v>Agencia</c:v>
                </c:pt>
                <c:pt idx="1">
                  <c:v>TOTAL</c:v>
                </c:pt>
              </c:strCache>
            </c:strRef>
          </c:cat>
          <c:val>
            <c:numRef>
              <c:f>Resumen!$F$4:$F$5</c:f>
              <c:numCache>
                <c:formatCode>0.0%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0-406A-8F53-40BFB5AC4B62}"/>
            </c:ext>
          </c:extLst>
        </c:ser>
        <c:ser>
          <c:idx val="1"/>
          <c:order val="1"/>
          <c:tx>
            <c:v>Meta (%)</c:v>
          </c:tx>
          <c:invertIfNegative val="0"/>
          <c:val>
            <c:numRef>
              <c:f>Resumen!$G$4:$G$5</c:f>
              <c:numCache>
                <c:formatCode>0.0%</c:formatCode>
                <c:ptCount val="2"/>
                <c:pt idx="0" formatCode="General">
                  <c:v>0</c:v>
                </c:pt>
                <c:pt idx="1">
                  <c:v>0.80700000000000005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D0-406A-8F53-40BFB5AC4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5124096"/>
        <c:axId val="1611325360"/>
      </c:barChart>
      <c:catAx>
        <c:axId val="162512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1325360"/>
        <c:crosses val="autoZero"/>
        <c:auto val="1"/>
        <c:lblAlgn val="ctr"/>
        <c:lblOffset val="100"/>
        <c:noMultiLvlLbl val="0"/>
      </c:catAx>
      <c:valAx>
        <c:axId val="1611325360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62512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9</xdr:row>
      <xdr:rowOff>22860</xdr:rowOff>
    </xdr:from>
    <xdr:to>
      <xdr:col>0</xdr:col>
      <xdr:colOff>7239000</xdr:colOff>
      <xdr:row>29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17F603-15BC-4A1D-9C49-7A4028580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2EB585D-F463-4047-8B6C-6DB465E8A6A5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A8D0F0-4227-434D-9F3E-F6FAAFE8F3A4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D0D3-DF70-4E68-AAA0-A2892CF57614}">
  <dimension ref="A1:I7"/>
  <sheetViews>
    <sheetView tabSelected="1" workbookViewId="0"/>
  </sheetViews>
  <sheetFormatPr baseColWidth="10" defaultRowHeight="14.4" x14ac:dyDescent="0.3"/>
  <cols>
    <col min="1" max="1" width="143.44140625" bestFit="1" customWidth="1"/>
    <col min="2" max="2" width="23.5546875" bestFit="1" customWidth="1"/>
    <col min="3" max="3" width="7.6640625" bestFit="1" customWidth="1"/>
    <col min="4" max="4" width="9.88671875" bestFit="1" customWidth="1"/>
    <col min="5" max="5" width="18" bestFit="1" customWidth="1"/>
    <col min="6" max="6" width="17.6640625" bestFit="1" customWidth="1"/>
    <col min="7" max="7" width="8.33203125" bestFit="1" customWidth="1"/>
    <col min="8" max="8" width="10" bestFit="1" customWidth="1"/>
    <col min="9" max="9" width="12" bestFit="1" customWidth="1"/>
  </cols>
  <sheetData>
    <row r="1" spans="1:9" ht="18" x14ac:dyDescent="0.35">
      <c r="A1" s="2" t="s">
        <v>0</v>
      </c>
    </row>
    <row r="2" spans="1:9" x14ac:dyDescent="0.3">
      <c r="A2" t="s">
        <v>1</v>
      </c>
    </row>
    <row r="4" spans="1:9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">
      <c r="A5" s="1" t="s">
        <v>11</v>
      </c>
      <c r="B5" s="1">
        <f ca="1">SUM(B4:B5)</f>
        <v>0</v>
      </c>
      <c r="C5" s="1">
        <f ca="1">SUM(C4:C5)</f>
        <v>0</v>
      </c>
      <c r="D5" s="1">
        <f ca="1">SUM(D4:D5)</f>
        <v>0</v>
      </c>
      <c r="E5" s="1">
        <f ca="1">C5-D5</f>
        <v>0</v>
      </c>
      <c r="F5" s="4">
        <f ca="1">B5/E5</f>
        <v>0</v>
      </c>
      <c r="G5" s="4">
        <v>0.80700000000000005</v>
      </c>
      <c r="H5" s="4">
        <f ca="1">F5-G5</f>
        <v>0</v>
      </c>
      <c r="I5" s="1">
        <f ca="1">IF(F5&gt;=G5,"Si","No")</f>
        <v>0</v>
      </c>
    </row>
    <row r="7" spans="1:9" x14ac:dyDescent="0.3">
      <c r="A7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0614-2727-4D28-A116-2B5804F63E8B}">
  <dimension ref="A1"/>
  <sheetViews>
    <sheetView workbookViewId="0"/>
  </sheetViews>
  <sheetFormatPr baseColWidth="10" defaultRowHeight="14.4" x14ac:dyDescent="0.3"/>
  <sheetData>
    <row r="1" s="1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76F7-1D9E-425F-8FFF-6405DC390B97}">
  <dimension ref="A1:D1"/>
  <sheetViews>
    <sheetView workbookViewId="0"/>
  </sheetViews>
  <sheetFormatPr baseColWidth="10" defaultRowHeight="14.4" x14ac:dyDescent="0.3"/>
  <cols>
    <col min="1" max="1" width="4.88671875" bestFit="1" customWidth="1"/>
    <col min="2" max="2" width="27.6640625" bestFit="1" customWidth="1"/>
    <col min="3" max="3" width="7" bestFit="1" customWidth="1"/>
    <col min="4" max="4" width="14.77734375" bestFit="1" customWidth="1"/>
  </cols>
  <sheetData>
    <row r="1" spans="1:4" s="1" customFormat="1" x14ac:dyDescent="0.3">
      <c r="A1" s="1" t="s">
        <v>13</v>
      </c>
      <c r="B1" s="1" t="s">
        <v>14</v>
      </c>
      <c r="C1" s="1" t="s">
        <v>15</v>
      </c>
      <c r="D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Numerador_Detalle</vt:lpstr>
      <vt:lpstr>Denominador_Detalle</vt:lpstr>
      <vt:lpstr>Denominador_Detalle!DatosExternos_1</vt:lpstr>
      <vt:lpstr>Numerador_Detalle!DatosExternos_1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Arancibia Sanhueza</dc:creator>
  <cp:lastModifiedBy>ximena Arancibia Sanhueza</cp:lastModifiedBy>
  <dcterms:created xsi:type="dcterms:W3CDTF">2026-08-18T02:27:27Z</dcterms:created>
  <dcterms:modified xsi:type="dcterms:W3CDTF">2026-08-18T02:27:29Z</dcterms:modified>
</cp:coreProperties>
</file>