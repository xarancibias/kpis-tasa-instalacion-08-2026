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alisis\BBDD\p12_Tasa_Instalacion_BAF_2026-08\periodos\2026-08\reportes\"/>
    </mc:Choice>
  </mc:AlternateContent>
  <xr:revisionPtr revIDLastSave="0" documentId="8_{DFAED390-34CE-45D9-81C3-543405F0F947}" xr6:coauthVersionLast="47" xr6:coauthVersionMax="47" xr10:uidLastSave="{00000000-0000-0000-0000-000000000000}"/>
  <bookViews>
    <workbookView xWindow="-108" yWindow="-108" windowWidth="23256" windowHeight="12456" xr2:uid="{4375BB14-92FB-4897-896D-B22A6863562C}"/>
  </bookViews>
  <sheets>
    <sheet name="Resumen" sheetId="1" r:id="rId1"/>
    <sheet name="Numerador_Detalle" sheetId="2" r:id="rId2"/>
    <sheet name="Denominador_Detalle" sheetId="3" r:id="rId3"/>
  </sheets>
  <definedNames>
    <definedName name="DatosExternos_1" localSheetId="2">Denominador_Detalle!$A$1:$D$2888</definedName>
    <definedName name="DatosExternos_1" localSheetId="1">Numerador_Detalle!$A$1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C5" i="1"/>
  <c r="F5" i="1"/>
  <c r="I5" i="1"/>
  <c r="E5" i="1"/>
  <c r="H5" i="1"/>
  <c r="D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F117A4-E8AE-423A-81D5-DA41311713E7}" name="denominador_maestro_ventas" type="6" refreshedVersion="8" background="1" saveData="1">
    <textPr prompt="0" sourceFile="C:\analisis\BBDD\p12_Tasa_Instalacion_BAF_2026-08\periodos\2026-08\datos\denominador_maestro_ventas.csv" decimal="," thousands="." semicolon="1">
      <textFields>
        <textField/>
      </textFields>
    </textPr>
  </connection>
  <connection id="2" xr16:uid="{12DA9F16-DBEE-4AF7-90FF-250E44366F48}" name="numerador_filtrado" type="6" refreshedVersion="8" background="1" saveData="1">
    <textPr prompt="0" sourceFile="C:\analisis\BBDD\p12_Tasa_Instalacion_BAF_2026-08\periodos\2026-08\datos\numerador_filtrado.csv" decimal="," thousands=".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<sst xmlns="http://schemas.openxmlformats.org/spreadsheetml/2006/main" count="17" uniqueCount="17">
  <si>
    <t>Tasa de Instalacion BAF - ELECNOR - Periodo 2026-08</t>
  </si>
  <si>
    <t>Numerador: TOA, STATUS_CD=complete y XA_WORK_TYPE_ID que inicia con AT (BAF). Denominador: Maestro_Ventas, Emision - Cancelada por AGENCIA_ZONAL_INSTALACION.</t>
  </si>
  <si>
    <t>Agencia</t>
  </si>
  <si>
    <t>Numerador (Complete+AT)</t>
  </si>
  <si>
    <t>Emision</t>
  </si>
  <si>
    <t>Cancelada</t>
  </si>
  <si>
    <t>Denominador (Neto)</t>
  </si>
  <si>
    <t>Tasa Instalacion (%)</t>
  </si>
  <si>
    <t>Meta (%)</t>
  </si>
  <si>
    <t>Brecha (%)</t>
  </si>
  <si>
    <t>Cumple Meta</t>
  </si>
  <si>
    <t>TOTAL</t>
  </si>
  <si>
    <t>Generado automaticamente por scripts\Actualizar-KPI.ps1</t>
  </si>
  <si>
    <t>TIPO</t>
  </si>
  <si>
    <t>AGENCIA_ZONAL_INSTALACION</t>
  </si>
  <si>
    <t>ORDEN</t>
  </si>
  <si>
    <t>FECHA_EMISION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</si>
</sst>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L"/>
              <a:t>Tasa de Instalacion BAF vs Meta - 2026-08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Instalacion (%)</c:v>
          </c:tx>
          <c:invertIfNegative val="0"/>
          <c:cat>
            <c:strRef>
              <c:f>Resumen!$A$4:$A$5</c:f>
              <c:strCache>
                <c:ptCount val="2"/>
                <c:pt idx="0">
                  <c:v>Agencia</c:v>
                </c:pt>
                <c:pt idx="1">
                  <c:v>TOTAL</c:v>
                </c:pt>
              </c:strCache>
            </c:strRef>
          </c:cat>
          <c:val>
            <c:numRef>
              <c:f>Resumen!$F$4:$F$5</c:f>
              <c:numCache>
                <c:formatCode>0.0%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0-4D47-BFD3-39DFB837687D}"/>
            </c:ext>
          </c:extLst>
        </c:ser>
        <c:ser>
          <c:idx val="1"/>
          <c:order val="1"/>
          <c:tx>
            <c:v>Meta (%)</c:v>
          </c:tx>
          <c:invertIfNegative val="0"/>
          <c:val>
            <c:numRef>
              <c:f>Resumen!$G$4:$G$5</c:f>
              <c:numCache>
                <c:formatCode>0.0%</c:formatCode>
                <c:ptCount val="2"/>
                <c:pt idx="0" formatCode="General">
                  <c:v>0</c:v>
                </c:pt>
                <c:pt idx="1">
                  <c:v>0.80700000000000005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0-4D47-BFD3-39DFB8376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2324063"/>
        <c:axId val="1326142191"/>
      </c:barChart>
      <c:catAx>
        <c:axId val="14323240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26142191"/>
        <c:crosses val="autoZero"/>
        <c:auto val="1"/>
        <c:lblAlgn val="ctr"/>
        <c:lblOffset val="100"/>
        <c:noMultiLvlLbl val="0"/>
      </c:catAx>
      <c:valAx>
        <c:axId val="1326142191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1432324063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9</xdr:row>
      <xdr:rowOff>22860</xdr:rowOff>
    </xdr:from>
    <xdr:to>
      <xdr:col>0</xdr:col>
      <xdr:colOff>7239000</xdr:colOff>
      <xdr:row>29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889BA6-3904-0334-680C-CD54BD718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AA457A4-0BBF-4123-821B-9CFA7E51EEEB}" autoFormatId="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F3617E4-D8F9-42D3-B78F-4B2B828570D9}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454A6-6686-47C0-B22E-74C09F25C94D}">
  <dimension ref="A1:I7"/>
  <sheetViews>
    <sheetView tabSelected="1" workbookViewId="0"/>
  </sheetViews>
  <sheetFormatPr baseColWidth="10" defaultRowHeight="14.4" x14ac:dyDescent="0.3"/>
  <cols>
    <col min="1" max="1" width="143.44140625" bestFit="1" customWidth="1"/>
    <col min="2" max="2" width="23.5546875" bestFit="1" customWidth="1"/>
    <col min="3" max="3" width="7.6640625" bestFit="1" customWidth="1"/>
    <col min="4" max="4" width="9.88671875" bestFit="1" customWidth="1"/>
    <col min="5" max="5" width="18" bestFit="1" customWidth="1"/>
    <col min="6" max="6" width="17.6640625" bestFit="1" customWidth="1"/>
    <col min="7" max="7" width="8.33203125" bestFit="1" customWidth="1"/>
    <col min="8" max="8" width="10" bestFit="1" customWidth="1"/>
    <col min="9" max="9" width="12" bestFit="1" customWidth="1"/>
  </cols>
  <sheetData>
    <row r="1" spans="1:9" ht="18" x14ac:dyDescent="0.35">
      <c r="A1" s="2" t="s">
        <v>0</v>
      </c>
    </row>
    <row r="2" spans="1:9" x14ac:dyDescent="0.3">
      <c r="A2" t="s">
        <v>1</v>
      </c>
    </row>
    <row r="4" spans="1:9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s="1" t="s">
        <v>11</v>
      </c>
      <c r="B5" s="1">
        <f ca="1">SUM(B4:B5)</f>
        <v>0</v>
      </c>
      <c r="C5" s="1">
        <f ca="1">SUM(C4:C5)</f>
        <v>0</v>
      </c>
      <c r="D5" s="1">
        <f ca="1">SUM(D4:D5)</f>
        <v>0</v>
      </c>
      <c r="E5" s="1">
        <f ca="1">C5-D5</f>
        <v>0</v>
      </c>
      <c r="F5" s="4">
        <f ca="1">B5/E5</f>
        <v>0</v>
      </c>
      <c r="G5" s="4">
        <v>0.80700000000000005</v>
      </c>
      <c r="H5" s="4">
        <f ca="1">F5-G5</f>
        <v>0</v>
      </c>
      <c r="I5" s="1">
        <f ca="1">IF(F5&gt;=G5,"Si","No")</f>
        <v>0</v>
      </c>
    </row>
    <row r="7" spans="1:9" x14ac:dyDescent="0.3">
      <c r="A7" t="s">
        <v>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DBEF-7650-4F23-B68E-C60FEDBEB372}">
  <dimension ref="A1"/>
  <sheetViews>
    <sheetView workbookViewId="0"/>
  </sheetViews>
  <sheetFormatPr baseColWidth="10" defaultRowHeight="14.4" x14ac:dyDescent="0.3"/>
  <sheetData>
    <row r="1" s="1" customForma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31F82-406C-4057-B82F-32E772170527}">
  <dimension ref="A1:D1"/>
  <sheetViews>
    <sheetView workbookViewId="0"/>
  </sheetViews>
  <sheetFormatPr baseColWidth="10" defaultRowHeight="14.4" x14ac:dyDescent="0.3"/>
  <cols>
    <col min="1" max="1" width="4.88671875" bestFit="1" customWidth="1"/>
    <col min="2" max="2" width="27.6640625" bestFit="1" customWidth="1"/>
    <col min="3" max="3" width="7" bestFit="1" customWidth="1"/>
    <col min="4" max="4" width="14.77734375" bestFit="1" customWidth="1"/>
  </cols>
  <sheetData>
    <row r="1" spans="1:4" s="1" customFormat="1" x14ac:dyDescent="0.3">
      <c r="A1" s="1" t="s">
        <v>13</v>
      </c>
      <c r="B1" s="1" t="s">
        <v>14</v>
      </c>
      <c r="C1" s="1" t="s">
        <v>15</v>
      </c>
      <c r="D1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Numerador_Detalle</vt:lpstr>
      <vt:lpstr>Denominador_Detalle</vt:lpstr>
      <vt:lpstr>Denominador_Detalle!DatosExternos_1</vt:lpstr>
      <vt:lpstr>Numerador_Detalle!DatosExternos_1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Arancibia Sanhueza</dc:creator>
  <cp:lastModifiedBy>ximena Arancibia Sanhueza</cp:lastModifiedBy>
  <dcterms:created xsi:type="dcterms:W3CDTF">2026-08-18T02:26:29Z</dcterms:created>
  <dcterms:modified xsi:type="dcterms:W3CDTF">2026-08-18T02:26:32Z</dcterms:modified>
</cp:coreProperties>
</file>